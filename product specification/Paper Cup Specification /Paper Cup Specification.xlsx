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2400" yWindow="600" windowWidth="102400" windowHeight="42600" tabRatio="600" firstSheet="0" activeTab="0" autoFilterDateGrouping="1"/>
  </bookViews>
  <sheets>
    <sheet name="单、双、瓦楞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1">
    <numFmt numFmtId="164" formatCode="0.0000_ "/>
  </numFmts>
  <fonts count="5">
    <font>
      <name val="新細明體"/>
      <charset val="134"/>
      <color theme="1"/>
      <sz val="11"/>
      <scheme val="minor"/>
    </font>
    <font>
      <name val="微软雅黑"/>
      <charset val="134"/>
      <family val="2"/>
      <color theme="1"/>
      <sz val="18"/>
    </font>
    <font>
      <name val="微软雅黑"/>
      <charset val="134"/>
      <family val="2"/>
      <color theme="1"/>
      <sz val="11"/>
    </font>
    <font>
      <name val="微软雅黑"/>
      <charset val="134"/>
      <family val="2"/>
      <color rgb="FFFF0000"/>
      <sz val="11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</cellXfs>
  <cellStyles count="1">
    <cellStyle name="一般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tabSelected="1" zoomScale="177" zoomScaleNormal="104" workbookViewId="0">
      <selection activeCell="W12" sqref="W12"/>
    </sheetView>
  </sheetViews>
  <sheetFormatPr baseColWidth="10" defaultColWidth="9.59765625" defaultRowHeight="14"/>
  <cols>
    <col width="17.796875" customWidth="1" style="7" min="2" max="2"/>
    <col width="50.3984375" bestFit="1" customWidth="1" style="7" min="3" max="3"/>
    <col width="9.59765625" customWidth="1" style="7" min="4" max="5"/>
    <col width="5.3984375" customWidth="1" style="7" min="6" max="6"/>
    <col width="6.59765625" customWidth="1" style="7" min="7" max="7"/>
    <col width="5.3984375" customWidth="1" style="7" min="8" max="8"/>
    <col width="11.59765625" customWidth="1" style="7" min="9" max="9"/>
    <col width="3.59765625" customWidth="1" style="7" min="10" max="10"/>
    <col width="8.59765625" customWidth="1" style="7" min="11" max="11"/>
    <col width="71.3984375" customWidth="1" style="7" min="12" max="12"/>
    <col width="10.19921875" customWidth="1" style="7" min="13" max="13"/>
    <col width="10.3984375" customWidth="1" style="7" min="14" max="14"/>
    <col width="7" customWidth="1" style="7" min="15" max="16"/>
    <col width="7.59765625" customWidth="1" style="7" min="17" max="17"/>
    <col width="10" customWidth="1" style="7" min="18" max="18"/>
  </cols>
  <sheetData>
    <row r="1" ht="36" customHeight="1" s="7">
      <c r="B1" s="5" t="inlineStr">
        <is>
          <t>Single Wall Paper Cup</t>
        </is>
      </c>
    </row>
    <row r="2" ht="17" customHeight="1" s="7">
      <c r="B2" s="6" t="inlineStr">
        <is>
          <t>Size</t>
        </is>
      </c>
      <c r="C2" s="6" t="inlineStr">
        <is>
          <t>Dimension (mm)</t>
        </is>
      </c>
      <c r="F2" s="6" t="inlineStr">
        <is>
          <t>Package</t>
        </is>
      </c>
      <c r="K2" s="6" t="inlineStr">
        <is>
          <t>Volum</t>
        </is>
      </c>
      <c r="M2" s="6" t="inlineStr">
        <is>
          <t>Size</t>
        </is>
      </c>
      <c r="S2" s="6" t="inlineStr">
        <is>
          <t>Carton size(cm)</t>
        </is>
      </c>
      <c r="V2" s="6" t="inlineStr">
        <is>
          <t>Volum</t>
        </is>
      </c>
    </row>
    <row r="3" ht="17" customHeight="1" s="7">
      <c r="C3" s="6" t="inlineStr">
        <is>
          <t>Top Diameter</t>
        </is>
      </c>
      <c r="D3" s="0" t="inlineStr">
        <is>
          <t>Bottom Diameter</t>
        </is>
      </c>
      <c r="E3" s="0" t="inlineStr">
        <is>
          <t>Height</t>
        </is>
      </c>
      <c r="F3" s="6" t="inlineStr">
        <is>
          <t>pcs/bag</t>
        </is>
      </c>
      <c r="G3" s="6" t="inlineStr">
        <is>
          <t>bags/ctn</t>
        </is>
      </c>
      <c r="H3" s="6" t="inlineStr">
        <is>
          <t>L</t>
        </is>
      </c>
      <c r="I3" s="6" t="inlineStr">
        <is>
          <t>W</t>
        </is>
      </c>
      <c r="J3" s="6" t="inlineStr">
        <is>
          <t>H</t>
        </is>
      </c>
      <c r="N3" s="6" t="inlineStr">
        <is>
          <t>Top Diameter</t>
        </is>
      </c>
      <c r="O3" s="0" t="inlineStr">
        <is>
          <t>Bottom Diameter</t>
        </is>
      </c>
      <c r="P3" s="0" t="inlineStr">
        <is>
          <t>Height</t>
        </is>
      </c>
      <c r="Q3" s="6" t="inlineStr">
        <is>
          <t>pcs/bag</t>
        </is>
      </c>
      <c r="R3" s="6" t="inlineStr">
        <is>
          <t>bags/ctn</t>
        </is>
      </c>
      <c r="S3" s="6" t="inlineStr">
        <is>
          <t>L</t>
        </is>
      </c>
      <c r="T3" s="6" t="inlineStr">
        <is>
          <t>W</t>
        </is>
      </c>
      <c r="U3" s="6" t="inlineStr">
        <is>
          <t>H</t>
        </is>
      </c>
      <c r="V3" s="6" t="inlineStr">
        <is>
          <t>CBM</t>
        </is>
      </c>
    </row>
    <row r="4" ht="22" customHeight="1" s="7">
      <c r="A4" s="2" t="inlineStr">
        <is>
          <t>55ml</t>
        </is>
      </c>
      <c r="B4" s="6" t="inlineStr">
        <is>
          <t>2.5oz</t>
        </is>
      </c>
      <c r="C4" s="6" t="n">
        <v>51</v>
      </c>
      <c r="D4" s="0" t="n">
        <v>35</v>
      </c>
      <c r="E4" s="0" t="n">
        <v>48</v>
      </c>
      <c r="F4" s="6" t="n">
        <v>50</v>
      </c>
      <c r="G4" s="6" t="n">
        <v>20</v>
      </c>
      <c r="H4" s="6" t="n">
        <v>26</v>
      </c>
      <c r="I4" s="6" t="n">
        <v>20.5</v>
      </c>
      <c r="J4" s="6" t="n">
        <v>29</v>
      </c>
      <c r="K4" s="8">
        <f>H4*I4*J4/1000000</f>
        <v/>
      </c>
      <c r="M4" s="6" t="inlineStr">
        <is>
          <t>4oz</t>
        </is>
      </c>
      <c r="N4" s="6" t="n">
        <v>62</v>
      </c>
      <c r="O4" s="0" t="n">
        <v>45</v>
      </c>
      <c r="P4" s="0" t="n">
        <v>59</v>
      </c>
      <c r="Q4" s="6" t="n">
        <v>25</v>
      </c>
      <c r="R4" s="6" t="n">
        <v>40</v>
      </c>
      <c r="S4" s="6" t="n">
        <v>50.5</v>
      </c>
      <c r="T4" s="6" t="n">
        <v>39</v>
      </c>
      <c r="U4" s="6" t="n">
        <v>31.5</v>
      </c>
      <c r="V4" s="8">
        <f>S4*T4*U4/1000000</f>
        <v/>
      </c>
    </row>
    <row r="5" ht="22" customHeight="1" s="7">
      <c r="A5" s="2" t="inlineStr">
        <is>
          <t>80ml</t>
        </is>
      </c>
      <c r="B5" s="6" t="inlineStr">
        <is>
          <t>3oz</t>
        </is>
      </c>
      <c r="C5" s="6" t="n">
        <v>55</v>
      </c>
      <c r="D5" s="0" t="n">
        <v>37</v>
      </c>
      <c r="E5" s="0" t="n">
        <v>55</v>
      </c>
      <c r="F5" s="6" t="n">
        <v>50</v>
      </c>
      <c r="G5" s="6" t="n">
        <v>20</v>
      </c>
      <c r="H5" s="6" t="n">
        <v>28</v>
      </c>
      <c r="I5" s="6" t="n">
        <v>22.5</v>
      </c>
      <c r="J5" s="6" t="n">
        <v>29</v>
      </c>
      <c r="K5" s="8">
        <f>H5*I5*J5/1000000</f>
        <v/>
      </c>
      <c r="M5" s="6" t="inlineStr">
        <is>
          <t>7oz</t>
        </is>
      </c>
      <c r="N5" s="6" t="n">
        <v>73</v>
      </c>
      <c r="O5" s="0" t="n">
        <v>50</v>
      </c>
      <c r="P5" s="0" t="n">
        <v>77</v>
      </c>
      <c r="Q5" s="6" t="n">
        <v>25</v>
      </c>
      <c r="R5" s="6" t="n">
        <v>20</v>
      </c>
      <c r="S5" s="6" t="n">
        <v>41</v>
      </c>
      <c r="T5" s="6" t="n">
        <v>36.5029</v>
      </c>
      <c r="U5" s="6" t="n">
        <v>29</v>
      </c>
      <c r="V5" s="8">
        <f>S5*T5*U5/1000000</f>
        <v/>
      </c>
    </row>
    <row r="6" ht="22" customHeight="1" s="7">
      <c r="A6" s="2" t="inlineStr">
        <is>
          <t>108ml</t>
        </is>
      </c>
      <c r="B6" s="6" t="inlineStr">
        <is>
          <t>4oz</t>
        </is>
      </c>
      <c r="C6" s="6" t="n">
        <v>62</v>
      </c>
      <c r="D6" s="0" t="n">
        <v>45</v>
      </c>
      <c r="E6" s="0" t="n">
        <v>59</v>
      </c>
      <c r="F6" s="6" t="n">
        <v>50</v>
      </c>
      <c r="G6" s="6" t="n">
        <v>20</v>
      </c>
      <c r="H6" s="6" t="n">
        <v>31</v>
      </c>
      <c r="I6" s="6" t="n">
        <v>25</v>
      </c>
      <c r="J6" s="6" t="n">
        <v>29</v>
      </c>
      <c r="K6" s="8">
        <f>H6*I6*J6/1000000</f>
        <v/>
      </c>
      <c r="M6" s="6" t="inlineStr">
        <is>
          <t>8oz</t>
        </is>
      </c>
      <c r="N6" s="6" t="n">
        <v>80</v>
      </c>
      <c r="O6" s="0" t="n">
        <v>56</v>
      </c>
      <c r="P6" s="0" t="n">
        <v>92</v>
      </c>
      <c r="Q6" s="6" t="n">
        <v>25</v>
      </c>
      <c r="R6" s="6" t="n">
        <v>20</v>
      </c>
      <c r="S6" s="4" t="n">
        <v>44</v>
      </c>
      <c r="T6" s="4" t="n">
        <v>31.5</v>
      </c>
      <c r="U6" s="4" t="n">
        <v>40</v>
      </c>
      <c r="V6" s="8">
        <f>S6*T6*U6/1000000</f>
        <v/>
      </c>
    </row>
    <row r="7" ht="22" customHeight="1" s="7">
      <c r="A7" s="2" t="inlineStr">
        <is>
          <t>140ml</t>
        </is>
      </c>
      <c r="B7" s="6" t="inlineStr">
        <is>
          <t>5oz</t>
        </is>
      </c>
      <c r="C7" s="6" t="n">
        <v>63</v>
      </c>
      <c r="D7" s="0" t="n">
        <v>45</v>
      </c>
      <c r="E7" s="0" t="n">
        <v>72</v>
      </c>
      <c r="F7" s="6" t="n">
        <v>50</v>
      </c>
      <c r="G7" s="6" t="n">
        <v>20</v>
      </c>
      <c r="H7" s="6" t="n">
        <v>32</v>
      </c>
      <c r="I7" s="6" t="n">
        <v>25.5</v>
      </c>
      <c r="J7" s="6" t="n">
        <v>29</v>
      </c>
      <c r="K7" s="8">
        <f>H7*I7*J7/1000000</f>
        <v/>
      </c>
      <c r="M7" s="6" t="inlineStr">
        <is>
          <t>10oz</t>
        </is>
      </c>
      <c r="N7" s="6" t="n">
        <v>80</v>
      </c>
      <c r="O7" s="0" t="n">
        <v>52</v>
      </c>
      <c r="P7" s="0" t="n">
        <v>112</v>
      </c>
      <c r="Q7" s="6" t="n">
        <v>25</v>
      </c>
      <c r="R7" s="6" t="n">
        <v>20</v>
      </c>
      <c r="S7" s="4" t="n">
        <v>45</v>
      </c>
      <c r="T7" s="4" t="n">
        <v>33</v>
      </c>
      <c r="U7" s="4" t="n">
        <v>40.5</v>
      </c>
      <c r="V7" s="8">
        <f>S7*T7*U7/1000000</f>
        <v/>
      </c>
    </row>
    <row r="8" ht="22" customHeight="1" s="7">
      <c r="A8" s="2" t="inlineStr">
        <is>
          <t>165ml</t>
        </is>
      </c>
      <c r="B8" s="6" t="inlineStr">
        <is>
          <t>6oz</t>
        </is>
      </c>
      <c r="C8" s="6" t="n">
        <v>68</v>
      </c>
      <c r="D8" s="0" t="n">
        <v>50</v>
      </c>
      <c r="E8" s="0" t="n">
        <v>71</v>
      </c>
      <c r="F8" s="6" t="n">
        <v>50</v>
      </c>
      <c r="G8" s="6" t="n">
        <v>20</v>
      </c>
      <c r="H8" s="6" t="n">
        <v>34</v>
      </c>
      <c r="I8" s="6" t="n">
        <v>28</v>
      </c>
      <c r="J8" s="6" t="n">
        <v>29</v>
      </c>
      <c r="K8" s="8">
        <f>H8*I8*J8/1000000</f>
        <v/>
      </c>
      <c r="M8" s="6" t="inlineStr">
        <is>
          <t>10oz</t>
        </is>
      </c>
      <c r="N8" s="6" t="n">
        <v>90</v>
      </c>
      <c r="O8" s="0" t="n">
        <v>60</v>
      </c>
      <c r="P8" s="0" t="n">
        <v>95</v>
      </c>
      <c r="Q8" s="6" t="n">
        <v>25</v>
      </c>
      <c r="R8" s="6" t="n">
        <v>20</v>
      </c>
      <c r="S8" s="6" t="n">
        <v>46</v>
      </c>
      <c r="T8" s="6" t="n">
        <v>36</v>
      </c>
      <c r="U8" s="6" t="n">
        <v>45</v>
      </c>
      <c r="V8" s="8">
        <f>S8*T8*U8/1000000</f>
        <v/>
      </c>
    </row>
    <row r="9" ht="22" customHeight="1" s="7">
      <c r="A9" s="2" t="inlineStr">
        <is>
          <t>200ml</t>
        </is>
      </c>
      <c r="B9" s="6" t="inlineStr">
        <is>
          <t>7oz</t>
        </is>
      </c>
      <c r="C9" s="6" t="n">
        <v>73</v>
      </c>
      <c r="D9" s="0" t="n">
        <v>50</v>
      </c>
      <c r="E9" s="0" t="n">
        <v>77</v>
      </c>
      <c r="F9" s="6" t="n">
        <v>50</v>
      </c>
      <c r="G9" s="6" t="n">
        <v>20</v>
      </c>
      <c r="H9" s="6" t="n">
        <v>37</v>
      </c>
      <c r="I9" s="6" t="n">
        <v>30</v>
      </c>
      <c r="J9" s="6" t="n">
        <v>32</v>
      </c>
      <c r="K9" s="8">
        <f>H9*I9*J9/1000000</f>
        <v/>
      </c>
      <c r="M9" s="6" t="inlineStr">
        <is>
          <t>12oz</t>
        </is>
      </c>
      <c r="N9" s="6" t="n">
        <v>90</v>
      </c>
      <c r="O9" s="0" t="n">
        <v>60</v>
      </c>
      <c r="P9" s="0" t="n">
        <v>108</v>
      </c>
      <c r="Q9" s="6" t="n">
        <v>25</v>
      </c>
      <c r="R9" s="6" t="n">
        <v>20</v>
      </c>
      <c r="S9" s="4" t="n">
        <v>42</v>
      </c>
      <c r="T9" s="4" t="n">
        <v>36</v>
      </c>
      <c r="U9" s="4" t="n">
        <v>45</v>
      </c>
      <c r="V9" s="8">
        <f>S9*T9*U9/1000000</f>
        <v/>
      </c>
    </row>
    <row r="10" ht="22" customHeight="1" s="7">
      <c r="A10" s="2" t="n"/>
      <c r="B10" s="6" t="inlineStr">
        <is>
          <t>7oz大底</t>
        </is>
      </c>
      <c r="C10" s="6" t="n">
        <v>73</v>
      </c>
      <c r="D10" s="0" t="n">
        <v>52</v>
      </c>
      <c r="E10" s="0" t="n">
        <v>80</v>
      </c>
      <c r="F10" s="6" t="n">
        <v>50</v>
      </c>
      <c r="G10" s="6" t="n">
        <v>20</v>
      </c>
      <c r="H10" s="6" t="n">
        <v>37</v>
      </c>
      <c r="I10" s="6" t="n">
        <v>30</v>
      </c>
      <c r="J10" s="6" t="n">
        <v>32.5</v>
      </c>
      <c r="K10" s="8" t="n"/>
      <c r="M10" s="6" t="n"/>
      <c r="N10" s="6" t="n"/>
      <c r="Q10" s="6" t="n"/>
      <c r="R10" s="6" t="n"/>
      <c r="S10" s="4" t="n"/>
      <c r="T10" s="4" t="n"/>
      <c r="U10" s="4" t="n"/>
      <c r="V10" s="8" t="n"/>
    </row>
    <row r="11" ht="22" customHeight="1" s="7">
      <c r="A11" s="2" t="inlineStr">
        <is>
          <t>205ml</t>
        </is>
      </c>
      <c r="B11" s="6" t="inlineStr">
        <is>
          <t>7.5oz</t>
        </is>
      </c>
      <c r="C11" s="6" t="n">
        <v>70</v>
      </c>
      <c r="D11" s="0" t="n">
        <v>45</v>
      </c>
      <c r="E11" s="0" t="n">
        <v>94</v>
      </c>
      <c r="F11" s="6" t="n">
        <v>50</v>
      </c>
      <c r="G11" s="6" t="n">
        <v>20</v>
      </c>
      <c r="H11" s="6" t="n">
        <v>35.5</v>
      </c>
      <c r="I11" s="6" t="n">
        <v>28</v>
      </c>
      <c r="J11" s="6" t="n">
        <v>34</v>
      </c>
      <c r="K11" s="8">
        <f>H11*I11*J11/1000000</f>
        <v/>
      </c>
      <c r="M11" s="6" t="inlineStr">
        <is>
          <t>16oz</t>
        </is>
      </c>
      <c r="N11" s="6" t="n">
        <v>90</v>
      </c>
      <c r="O11" s="0" t="n">
        <v>60</v>
      </c>
      <c r="P11" s="0" t="n">
        <v>134</v>
      </c>
      <c r="Q11" s="6" t="n">
        <v>25</v>
      </c>
      <c r="R11" s="6" t="n">
        <v>20</v>
      </c>
      <c r="S11" s="6" t="n">
        <v>55</v>
      </c>
      <c r="T11" s="6" t="n">
        <v>36</v>
      </c>
      <c r="U11" s="6" t="n">
        <v>45</v>
      </c>
      <c r="V11" s="8">
        <f>S11*T11*U11/1000000</f>
        <v/>
      </c>
    </row>
    <row r="12" ht="22" customHeight="1" s="7">
      <c r="A12" s="2" t="inlineStr">
        <is>
          <t>240ml</t>
        </is>
      </c>
      <c r="B12" s="6" t="inlineStr">
        <is>
          <t>8Boz</t>
        </is>
      </c>
      <c r="C12" s="6" t="n">
        <v>75</v>
      </c>
      <c r="D12" s="0" t="n">
        <v>52</v>
      </c>
      <c r="E12" s="0" t="n">
        <v>89</v>
      </c>
      <c r="F12" s="6" t="n">
        <v>50</v>
      </c>
      <c r="G12" s="6" t="n">
        <v>20</v>
      </c>
      <c r="H12" s="6" t="n">
        <v>38</v>
      </c>
      <c r="I12" s="6" t="n">
        <v>30</v>
      </c>
      <c r="J12" s="6" t="n">
        <v>34</v>
      </c>
      <c r="K12" s="8">
        <f>H12*I12*J12/1000000</f>
        <v/>
      </c>
    </row>
    <row r="13" ht="22" customHeight="1" s="7">
      <c r="A13" s="2" t="inlineStr">
        <is>
          <t>285ml</t>
        </is>
      </c>
      <c r="B13" s="6" t="inlineStr">
        <is>
          <t>8oz</t>
        </is>
      </c>
      <c r="C13" s="6" t="n">
        <v>80</v>
      </c>
      <c r="D13" s="0" t="n">
        <v>56</v>
      </c>
      <c r="E13" s="0" t="n">
        <v>92</v>
      </c>
      <c r="F13" s="6" t="n">
        <v>50</v>
      </c>
      <c r="G13" s="6" t="n">
        <v>20</v>
      </c>
      <c r="H13" s="6" t="n">
        <v>40</v>
      </c>
      <c r="I13" s="6" t="n">
        <v>32.5</v>
      </c>
      <c r="J13" s="6" t="n">
        <v>38.5</v>
      </c>
      <c r="K13" s="8">
        <f>H13*I13*J13/1000000</f>
        <v/>
      </c>
    </row>
    <row r="14" ht="22" customHeight="1" s="7">
      <c r="A14" s="2" t="inlineStr">
        <is>
          <t>270ml</t>
        </is>
      </c>
      <c r="B14" s="6" t="inlineStr">
        <is>
          <t>9oz</t>
        </is>
      </c>
      <c r="C14" s="6" t="n">
        <v>77</v>
      </c>
      <c r="D14" s="0" t="n">
        <v>52</v>
      </c>
      <c r="E14" s="0" t="n">
        <v>95</v>
      </c>
      <c r="F14" s="6" t="n">
        <v>50</v>
      </c>
      <c r="G14" s="6" t="n">
        <v>20</v>
      </c>
      <c r="H14" s="6" t="n">
        <v>39</v>
      </c>
      <c r="I14" s="6" t="n">
        <v>31</v>
      </c>
      <c r="J14" s="6" t="n">
        <v>35</v>
      </c>
      <c r="K14" s="8">
        <f>H14*I14*J14/1000000</f>
        <v/>
      </c>
      <c r="M14" s="6" t="inlineStr">
        <is>
          <t>Size</t>
        </is>
      </c>
      <c r="S14" s="6" t="inlineStr">
        <is>
          <t>Carton size(cm)</t>
        </is>
      </c>
      <c r="V14" s="6" t="inlineStr">
        <is>
          <t>Volum</t>
        </is>
      </c>
    </row>
    <row r="15" ht="22" customHeight="1" s="7">
      <c r="A15" s="2" t="inlineStr">
        <is>
          <t>330ml</t>
        </is>
      </c>
      <c r="B15" s="6" t="inlineStr">
        <is>
          <t>10oz</t>
        </is>
      </c>
      <c r="C15" s="6" t="n">
        <v>80</v>
      </c>
      <c r="D15" s="0" t="n">
        <v>52</v>
      </c>
      <c r="E15" s="0" t="n">
        <v>108</v>
      </c>
      <c r="F15" s="6" t="n">
        <v>50</v>
      </c>
      <c r="G15" s="6" t="n">
        <v>20</v>
      </c>
      <c r="H15" s="6" t="n">
        <v>40</v>
      </c>
      <c r="I15" s="6" t="n">
        <v>32</v>
      </c>
      <c r="J15" s="6" t="n">
        <v>40</v>
      </c>
      <c r="N15" s="6" t="inlineStr">
        <is>
          <t>Top Diameter</t>
        </is>
      </c>
      <c r="O15" s="0" t="inlineStr">
        <is>
          <t>Bottom Diameter</t>
        </is>
      </c>
      <c r="P15" s="0" t="inlineStr">
        <is>
          <t>Height</t>
        </is>
      </c>
      <c r="Q15" s="6" t="inlineStr">
        <is>
          <t>pcs/bag</t>
        </is>
      </c>
      <c r="R15" s="6" t="inlineStr">
        <is>
          <t>bags/ctn</t>
        </is>
      </c>
      <c r="S15" s="6" t="inlineStr">
        <is>
          <t>L</t>
        </is>
      </c>
      <c r="T15" s="6" t="inlineStr">
        <is>
          <t>W</t>
        </is>
      </c>
      <c r="U15" s="6" t="inlineStr">
        <is>
          <t>H</t>
        </is>
      </c>
      <c r="V15" s="6" t="inlineStr">
        <is>
          <t>CBM</t>
        </is>
      </c>
    </row>
    <row r="16" ht="22" customHeight="1" s="7">
      <c r="A16" s="2" t="inlineStr">
        <is>
          <t>350ml</t>
        </is>
      </c>
      <c r="B16" s="6" t="inlineStr">
        <is>
          <t>10oz</t>
        </is>
      </c>
      <c r="C16" s="6" t="n">
        <v>90</v>
      </c>
      <c r="D16" s="0" t="n">
        <v>60</v>
      </c>
      <c r="E16" s="0" t="n">
        <v>95</v>
      </c>
      <c r="F16" s="6" t="n">
        <v>50</v>
      </c>
      <c r="G16" s="6" t="n">
        <v>20</v>
      </c>
      <c r="H16" s="6" t="n">
        <v>45.5</v>
      </c>
      <c r="I16" s="6" t="n">
        <v>36.5</v>
      </c>
      <c r="J16" s="6" t="n">
        <v>48</v>
      </c>
      <c r="K16" s="8">
        <f>H16*I16*J16/1000000</f>
        <v/>
      </c>
      <c r="M16" s="6" t="inlineStr">
        <is>
          <t>4oz</t>
        </is>
      </c>
      <c r="N16" s="6" t="n">
        <v>62</v>
      </c>
      <c r="O16" s="0" t="n">
        <v>45</v>
      </c>
      <c r="P16" s="0" t="n">
        <v>59</v>
      </c>
      <c r="Q16" s="6" t="n">
        <v>25</v>
      </c>
      <c r="R16" s="6" t="n">
        <v>40</v>
      </c>
      <c r="S16" s="4" t="n">
        <v>50.5</v>
      </c>
      <c r="T16" s="4" t="n">
        <v>39</v>
      </c>
      <c r="U16" s="4" t="n">
        <v>31.5</v>
      </c>
      <c r="V16" s="8">
        <f>S16*T16*U16/1000000</f>
        <v/>
      </c>
    </row>
    <row r="17" ht="22" customHeight="1" s="7">
      <c r="A17" s="2" t="inlineStr">
        <is>
          <t>400ml</t>
        </is>
      </c>
      <c r="B17" s="6" t="inlineStr">
        <is>
          <t>12oz</t>
        </is>
      </c>
      <c r="C17" s="6" t="n">
        <v>90</v>
      </c>
      <c r="D17" s="0" t="n">
        <v>60</v>
      </c>
      <c r="E17" s="0" t="n">
        <v>108</v>
      </c>
      <c r="F17" s="6" t="n">
        <v>50</v>
      </c>
      <c r="G17" s="6" t="n">
        <v>20</v>
      </c>
      <c r="H17" s="6" t="n">
        <v>45.5</v>
      </c>
      <c r="I17" s="6" t="n">
        <v>36.5</v>
      </c>
      <c r="J17" s="6" t="n">
        <v>46.5</v>
      </c>
      <c r="K17" s="8">
        <f>H17*I17*J17/1000000</f>
        <v/>
      </c>
      <c r="M17" s="6" t="inlineStr">
        <is>
          <t>7oz</t>
        </is>
      </c>
      <c r="N17" s="6" t="n">
        <v>73</v>
      </c>
      <c r="O17" s="0" t="n">
        <v>50</v>
      </c>
      <c r="P17" s="0" t="n">
        <v>77</v>
      </c>
      <c r="Q17" s="6" t="n">
        <v>25</v>
      </c>
      <c r="R17" s="6" t="n">
        <v>20</v>
      </c>
      <c r="S17" s="6" t="n">
        <v>47</v>
      </c>
      <c r="T17" s="6" t="n">
        <v>36.5</v>
      </c>
      <c r="U17" s="6" t="n">
        <v>29</v>
      </c>
      <c r="V17" s="8">
        <f>S17*T17*U17/1000000</f>
        <v/>
      </c>
    </row>
    <row r="18" ht="22" customHeight="1" s="7">
      <c r="A18" s="2" t="inlineStr">
        <is>
          <t>505ml</t>
        </is>
      </c>
      <c r="B18" s="6" t="inlineStr">
        <is>
          <t>16oz</t>
        </is>
      </c>
      <c r="C18" s="6" t="n">
        <v>90</v>
      </c>
      <c r="D18" s="0" t="n">
        <v>60</v>
      </c>
      <c r="E18" s="0" t="n">
        <v>134</v>
      </c>
      <c r="F18" s="6" t="n">
        <v>50</v>
      </c>
      <c r="G18" s="6" t="n">
        <v>20</v>
      </c>
      <c r="H18" s="6" t="n">
        <v>45.5</v>
      </c>
      <c r="I18" s="6" t="n">
        <v>36.5</v>
      </c>
      <c r="J18" s="6" t="n">
        <v>53</v>
      </c>
      <c r="K18" s="8">
        <f>H18*I18*J18/1000000</f>
        <v/>
      </c>
      <c r="M18" s="6" t="inlineStr">
        <is>
          <t>8oz</t>
        </is>
      </c>
      <c r="N18" s="6" t="n">
        <v>80</v>
      </c>
      <c r="O18" s="0" t="n">
        <v>56</v>
      </c>
      <c r="P18" s="0" t="n">
        <v>92</v>
      </c>
      <c r="Q18" s="6" t="n">
        <v>25</v>
      </c>
      <c r="R18" s="6" t="n">
        <v>20</v>
      </c>
      <c r="S18" s="4" t="n">
        <v>45</v>
      </c>
      <c r="T18" s="4" t="n">
        <v>40</v>
      </c>
      <c r="U18" s="4" t="n">
        <v>32</v>
      </c>
      <c r="V18" s="8">
        <f>S18*T18*U18/1000000</f>
        <v/>
      </c>
    </row>
    <row r="19" ht="22" customHeight="1" s="7">
      <c r="A19" s="2" t="inlineStr">
        <is>
          <t>605ml</t>
        </is>
      </c>
      <c r="B19" s="6" t="inlineStr">
        <is>
          <t>20oz</t>
        </is>
      </c>
      <c r="C19" s="6" t="n">
        <v>90</v>
      </c>
      <c r="D19" s="0" t="n">
        <v>60</v>
      </c>
      <c r="E19" s="0" t="n">
        <v>160</v>
      </c>
      <c r="F19" s="6" t="n">
        <v>50</v>
      </c>
      <c r="G19" s="6" t="n">
        <v>20</v>
      </c>
      <c r="H19" s="6" t="n">
        <v>45.5</v>
      </c>
      <c r="I19" s="6" t="n">
        <v>36.5</v>
      </c>
      <c r="J19" s="6" t="n">
        <v>61</v>
      </c>
      <c r="K19" s="8">
        <f>H19*I19*J19/1000000</f>
        <v/>
      </c>
      <c r="M19" s="6" t="inlineStr">
        <is>
          <t>10oz</t>
        </is>
      </c>
      <c r="N19" s="6" t="n">
        <v>80</v>
      </c>
      <c r="O19" s="0" t="n">
        <v>52</v>
      </c>
      <c r="P19" s="0" t="n">
        <v>112</v>
      </c>
      <c r="Q19" s="6" t="n">
        <v>25</v>
      </c>
      <c r="R19" s="6" t="n">
        <v>20</v>
      </c>
      <c r="S19" s="4" t="n">
        <v>47</v>
      </c>
      <c r="T19" s="4" t="n">
        <v>33</v>
      </c>
      <c r="U19" s="4" t="n">
        <v>40.5</v>
      </c>
      <c r="V19" s="8">
        <f>S19*T19*U19/1000000</f>
        <v/>
      </c>
    </row>
    <row r="20" ht="22" customHeight="1" s="7">
      <c r="A20" s="2" t="inlineStr">
        <is>
          <t>630ml</t>
        </is>
      </c>
      <c r="B20" s="6" t="inlineStr">
        <is>
          <t>22oz</t>
        </is>
      </c>
      <c r="C20" s="6" t="n">
        <v>90</v>
      </c>
      <c r="D20" s="0" t="n">
        <v>60</v>
      </c>
      <c r="E20" s="0" t="n">
        <v>170</v>
      </c>
      <c r="F20" s="6" t="n">
        <v>50</v>
      </c>
      <c r="G20" s="6" t="n">
        <v>20</v>
      </c>
      <c r="H20" s="6" t="n">
        <v>45.5</v>
      </c>
      <c r="I20" s="6" t="n">
        <v>36.5</v>
      </c>
      <c r="J20" s="6" t="n">
        <v>61.5</v>
      </c>
      <c r="K20" s="8">
        <f>H20*I20*J20/1000000</f>
        <v/>
      </c>
      <c r="M20" s="6" t="inlineStr">
        <is>
          <t>10oz</t>
        </is>
      </c>
      <c r="N20" s="6" t="n">
        <v>90</v>
      </c>
      <c r="O20" s="0" t="n">
        <v>60</v>
      </c>
      <c r="P20" s="0" t="n">
        <v>95</v>
      </c>
      <c r="Q20" s="6" t="n">
        <v>25</v>
      </c>
      <c r="R20" s="6" t="n">
        <v>20</v>
      </c>
      <c r="S20" s="6" t="n">
        <v>46</v>
      </c>
      <c r="T20" s="6" t="n">
        <v>42</v>
      </c>
      <c r="U20" s="6" t="n">
        <v>37</v>
      </c>
      <c r="V20" s="8">
        <f>S20*T20*U20/1000000</f>
        <v/>
      </c>
    </row>
    <row r="21" ht="22" customHeight="1" s="7">
      <c r="B21" s="6" t="inlineStr">
        <is>
          <t>4oz ice cream cup</t>
        </is>
      </c>
      <c r="C21" s="6" t="n">
        <v>74</v>
      </c>
      <c r="D21" s="0" t="n">
        <v>60</v>
      </c>
      <c r="E21" s="0" t="n">
        <v>49</v>
      </c>
      <c r="F21" s="6" t="n">
        <v>50</v>
      </c>
      <c r="G21" s="6" t="n">
        <v>20</v>
      </c>
      <c r="H21" s="6" t="n">
        <v>38</v>
      </c>
      <c r="I21" s="6" t="n">
        <v>30.5</v>
      </c>
      <c r="J21" s="6" t="n">
        <v>36</v>
      </c>
      <c r="K21" s="8">
        <f>H21*I21*J21/1000000</f>
        <v/>
      </c>
      <c r="M21" s="6" t="inlineStr">
        <is>
          <t>12oz</t>
        </is>
      </c>
      <c r="N21" s="6" t="n">
        <v>90</v>
      </c>
      <c r="O21" s="0" t="n">
        <v>60</v>
      </c>
      <c r="P21" s="0" t="n">
        <v>108</v>
      </c>
      <c r="Q21" s="6" t="n">
        <v>25</v>
      </c>
      <c r="R21" s="6" t="n">
        <v>20</v>
      </c>
      <c r="S21" s="6" t="n">
        <v>44</v>
      </c>
      <c r="T21" s="6" t="n">
        <v>45</v>
      </c>
      <c r="U21" s="6" t="n">
        <v>36</v>
      </c>
      <c r="V21" s="8">
        <f>S21*T21*U21/1000000</f>
        <v/>
      </c>
    </row>
    <row r="22" ht="22" customHeight="1" s="7">
      <c r="B22" s="6" t="inlineStr">
        <is>
          <t>6oz ice cream cup</t>
        </is>
      </c>
      <c r="C22" s="6" t="n">
        <v>90</v>
      </c>
      <c r="D22" s="0" t="n">
        <v>72</v>
      </c>
      <c r="E22" s="0" t="n">
        <v>60</v>
      </c>
      <c r="F22" s="6" t="n">
        <v>50</v>
      </c>
      <c r="G22" s="6" t="n">
        <v>20</v>
      </c>
      <c r="H22" s="6" t="n">
        <v>46.5</v>
      </c>
      <c r="I22" s="6" t="n">
        <v>36.5</v>
      </c>
      <c r="J22" s="6" t="n">
        <v>37</v>
      </c>
      <c r="K22" s="8">
        <f>H22*I22*J22/1000000</f>
        <v/>
      </c>
      <c r="M22" s="6" t="inlineStr">
        <is>
          <t>16oz</t>
        </is>
      </c>
      <c r="N22" s="6" t="n">
        <v>90</v>
      </c>
      <c r="O22" s="0" t="n">
        <v>60</v>
      </c>
      <c r="P22" s="0" t="n">
        <v>134</v>
      </c>
      <c r="Q22" s="6" t="n">
        <v>25</v>
      </c>
      <c r="R22" s="6" t="n">
        <v>20</v>
      </c>
      <c r="S22" s="6" t="n">
        <v>58</v>
      </c>
      <c r="T22" s="6" t="n">
        <v>45</v>
      </c>
      <c r="U22" s="6" t="n">
        <v>36</v>
      </c>
      <c r="V22" s="8">
        <f>S22*T22*U22/1000000</f>
        <v/>
      </c>
    </row>
    <row r="23" ht="22" customHeight="1" s="7">
      <c r="B23" s="6" t="inlineStr">
        <is>
          <t>8oz ice cream cup</t>
        </is>
      </c>
      <c r="C23" s="6" t="n">
        <v>95</v>
      </c>
      <c r="D23" s="0" t="n">
        <v>80</v>
      </c>
      <c r="E23" s="0" t="n">
        <v>60</v>
      </c>
      <c r="F23" s="6" t="n">
        <v>50</v>
      </c>
      <c r="G23" s="6" t="n">
        <v>20</v>
      </c>
      <c r="H23" s="6" t="n">
        <v>48</v>
      </c>
      <c r="I23" s="6" t="n">
        <v>38</v>
      </c>
      <c r="J23" s="6" t="n">
        <v>48</v>
      </c>
      <c r="K23" s="8">
        <f>H23*I23*J23/1000000</f>
        <v/>
      </c>
      <c r="R23" s="0" t="inlineStr">
        <is>
          <t>4oz瓦楞箱规更新</t>
        </is>
      </c>
      <c r="S23" s="0" t="n">
        <v>49</v>
      </c>
      <c r="T23" s="0" t="n">
        <v>37</v>
      </c>
      <c r="U23" s="0" t="n">
        <v>31</v>
      </c>
    </row>
  </sheetData>
  <mergeCells count="15">
    <mergeCell ref="C2:E2"/>
    <mergeCell ref="F2:G2"/>
    <mergeCell ref="B1:K1"/>
    <mergeCell ref="M14:M15"/>
    <mergeCell ref="N2:P2"/>
    <mergeCell ref="Q2:R2"/>
    <mergeCell ref="S14:U14"/>
    <mergeCell ref="M1:V1"/>
    <mergeCell ref="M13:V13"/>
    <mergeCell ref="N14:P14"/>
    <mergeCell ref="Q14:R14"/>
    <mergeCell ref="M2:M3"/>
    <mergeCell ref="B2:B3"/>
    <mergeCell ref="H2:J2"/>
    <mergeCell ref="S2:U2"/>
  </mergeCells>
  <pageMargins left="0.25" right="0.25" top="0.75" bottom="0.75" header="0.297916666666667" footer="0.297916666666667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2024-06-13T07:22:00Z</dcterms:created>
  <dcterms:modified xsi:type="dcterms:W3CDTF">2026-03-04T10:49:08Z</dcterms:modified>
  <cp:lastModifiedBy>osson@nexopack.io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5214B7CFECD84A5483EBB98DFAA17D36_13</vt:lpwstr>
  </property>
  <property name="KSOProductBuildVer" fmtid="{D5CDD505-2E9C-101B-9397-08002B2CF9AE}" pid="3">
    <vt:lpwstr>2052-12.1.0.25225</vt:lpwstr>
  </property>
  <property name="KSOReadingLayout" fmtid="{D5CDD505-2E9C-101B-9397-08002B2CF9AE}" pid="4">
    <vt:bool>0</vt:bool>
  </property>
  <property name="CalculationRule" fmtid="{D5CDD505-2E9C-101B-9397-08002B2CF9AE}" pid="5">
    <vt:i4>0</vt:i4>
  </property>
</Properties>
</file>